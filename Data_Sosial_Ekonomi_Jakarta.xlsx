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urul alam\OneDrive\Desktop\UAS_Ekonomi Digital\"/>
    </mc:Choice>
  </mc:AlternateContent>
  <xr:revisionPtr revIDLastSave="0" documentId="13_ncr:1_{A1076143-C05C-461E-8E7D-42B4E3070FA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1" i="2" l="1"/>
  <c r="K26" i="2"/>
  <c r="K21" i="2"/>
  <c r="K16" i="2"/>
  <c r="K11" i="2"/>
  <c r="K6" i="2"/>
  <c r="J31" i="2"/>
  <c r="J6" i="2"/>
  <c r="J16" i="2"/>
  <c r="J26" i="2"/>
  <c r="J21" i="2"/>
  <c r="J11" i="2"/>
</calcChain>
</file>

<file path=xl/sharedStrings.xml><?xml version="1.0" encoding="utf-8"?>
<sst xmlns="http://schemas.openxmlformats.org/spreadsheetml/2006/main" count="71" uniqueCount="18">
  <si>
    <t>Kode Daerah</t>
  </si>
  <si>
    <t>Tahun</t>
  </si>
  <si>
    <t>PDRB (Miliar Rp)</t>
  </si>
  <si>
    <t>Jumlah Penduduk</t>
  </si>
  <si>
    <t>Kemiskinan(%)</t>
  </si>
  <si>
    <t>Pengangguran(%)</t>
  </si>
  <si>
    <t>Jakarta Pusat</t>
  </si>
  <si>
    <t>Jakarta Utara</t>
  </si>
  <si>
    <t>Jakarta Barat</t>
  </si>
  <si>
    <t>Jakarta Selatan</t>
  </si>
  <si>
    <t>Jakarta Timur</t>
  </si>
  <si>
    <t>Kepulauan Seribu</t>
  </si>
  <si>
    <t>Kabupaten/Kota</t>
  </si>
  <si>
    <t>Indeks Pembangunan Manusia(IPM)</t>
  </si>
  <si>
    <t>Country</t>
  </si>
  <si>
    <t>Indonesia</t>
  </si>
  <si>
    <t>Rasio Gini</t>
  </si>
  <si>
    <t>Rata-rata Gaji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</si>
</sst>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111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/>
    <xf numFmtId="3" fontId="2" fillId="0" borderId="1" xfId="0" applyNumberFormat="1" applyFont="1" applyBorder="1"/>
    <xf numFmtId="3" fontId="2" fillId="2" borderId="1" xfId="0" applyNumberFormat="1" applyFont="1" applyFill="1" applyBorder="1" applyAlignment="1">
      <alignment horizontal="right" vertical="center" wrapText="1"/>
    </xf>
    <xf numFmtId="164" fontId="0" fillId="0" borderId="1" xfId="0" applyNumberFormat="1" applyBorder="1"/>
    <xf numFmtId="164" fontId="2" fillId="0" borderId="1" xfId="0" applyNumberFormat="1" applyFont="1" applyBorder="1"/>
    <xf numFmtId="0" fontId="1" fillId="0" borderId="1" xfId="0" applyFont="1" applyFill="1" applyBorder="1" applyAlignment="1">
      <alignment horizontal="center" vertical="top"/>
    </xf>
    <xf numFmtId="4" fontId="2" fillId="0" borderId="1" xfId="0" applyNumberFormat="1" applyFont="1" applyBorder="1"/>
    <xf numFmtId="4" fontId="0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B8AFA-573C-426A-B977-FAFD257C22E7}">
  <dimension ref="A1:K31"/>
  <sheetViews>
    <sheetView tabSelected="1" topLeftCell="B1" workbookViewId="0">
      <selection activeCell="G6" sqref="G6"/>
    </sheetView>
  </sheetViews>
  <sheetFormatPr defaultRowHeight="14.4" x14ac:dyDescent="0.3"/>
  <cols>
    <col min="1" max="1" width="18" customWidth="1"/>
    <col min="2" max="2" width="20.44140625" customWidth="1"/>
    <col min="3" max="3" width="16.77734375" customWidth="1"/>
    <col min="4" max="4" width="13.109375" customWidth="1"/>
    <col min="5" max="5" width="23.109375" customWidth="1"/>
    <col min="6" max="6" width="21.109375" customWidth="1"/>
    <col min="7" max="7" width="21.21875" customWidth="1"/>
    <col min="8" max="8" width="18.88671875" customWidth="1"/>
    <col min="9" max="9" width="37.77734375" customWidth="1"/>
    <col min="10" max="10" width="14.6640625" customWidth="1"/>
    <col min="11" max="11" width="15.88671875" customWidth="1"/>
  </cols>
  <sheetData>
    <row r="1" spans="1:11" x14ac:dyDescent="0.3">
      <c r="A1" s="1" t="s">
        <v>0</v>
      </c>
      <c r="B1" s="1" t="s">
        <v>12</v>
      </c>
      <c r="C1" s="1" t="s">
        <v>14</v>
      </c>
      <c r="D1" s="1" t="s">
        <v>1</v>
      </c>
      <c r="E1" s="1" t="s">
        <v>4</v>
      </c>
      <c r="F1" s="1" t="s">
        <v>5</v>
      </c>
      <c r="G1" s="1" t="s">
        <v>2</v>
      </c>
      <c r="H1" s="1" t="s">
        <v>3</v>
      </c>
      <c r="I1" s="1" t="s">
        <v>13</v>
      </c>
      <c r="J1" s="1" t="s">
        <v>16</v>
      </c>
      <c r="K1" s="8" t="s">
        <v>17</v>
      </c>
    </row>
    <row r="2" spans="1:11" x14ac:dyDescent="0.3">
      <c r="A2" s="2">
        <v>3173</v>
      </c>
      <c r="B2" s="2" t="s">
        <v>6</v>
      </c>
      <c r="C2" s="2" t="s">
        <v>15</v>
      </c>
      <c r="D2" s="2">
        <v>2019</v>
      </c>
      <c r="E2" s="3">
        <v>3.68</v>
      </c>
      <c r="F2" s="3">
        <v>7.51</v>
      </c>
      <c r="G2" s="4">
        <v>769828</v>
      </c>
      <c r="H2" s="4">
        <v>928109</v>
      </c>
      <c r="I2" s="3">
        <v>81.239999999999995</v>
      </c>
      <c r="J2" s="3">
        <v>0.35799999999999998</v>
      </c>
      <c r="K2" s="9">
        <v>4059459.17</v>
      </c>
    </row>
    <row r="3" spans="1:11" x14ac:dyDescent="0.3">
      <c r="A3" s="2">
        <v>3173</v>
      </c>
      <c r="B3" s="2" t="s">
        <v>6</v>
      </c>
      <c r="C3" s="2" t="s">
        <v>15</v>
      </c>
      <c r="D3" s="2">
        <v>2020</v>
      </c>
      <c r="E3" s="3">
        <v>4.51</v>
      </c>
      <c r="F3" s="3">
        <v>10.97</v>
      </c>
      <c r="G3" s="4">
        <v>665645</v>
      </c>
      <c r="H3" s="4">
        <v>1056896</v>
      </c>
      <c r="I3" s="3">
        <v>81.39</v>
      </c>
      <c r="J3" s="3">
        <v>0.39</v>
      </c>
      <c r="K3" s="4">
        <v>4821959</v>
      </c>
    </row>
    <row r="4" spans="1:11" x14ac:dyDescent="0.3">
      <c r="A4" s="2">
        <v>3173</v>
      </c>
      <c r="B4" s="2" t="s">
        <v>6</v>
      </c>
      <c r="C4" s="2" t="s">
        <v>15</v>
      </c>
      <c r="D4" s="2">
        <v>2021</v>
      </c>
      <c r="E4" s="3">
        <v>4.9400000000000004</v>
      </c>
      <c r="F4" s="3">
        <v>7.75</v>
      </c>
      <c r="G4" s="4">
        <v>688487</v>
      </c>
      <c r="H4" s="4">
        <v>1057465</v>
      </c>
      <c r="I4" s="3">
        <v>81.56</v>
      </c>
      <c r="J4" s="3">
        <v>0.39700000000000002</v>
      </c>
      <c r="K4" s="9">
        <v>4514651.1900000004</v>
      </c>
    </row>
    <row r="5" spans="1:11" x14ac:dyDescent="0.3">
      <c r="A5" s="2">
        <v>3173</v>
      </c>
      <c r="B5" s="2" t="s">
        <v>6</v>
      </c>
      <c r="C5" s="2" t="s">
        <v>15</v>
      </c>
      <c r="D5" s="2">
        <v>2022</v>
      </c>
      <c r="E5" s="3">
        <v>4.9000000000000004</v>
      </c>
      <c r="F5" s="3">
        <v>5.88</v>
      </c>
      <c r="G5" s="4">
        <v>755015</v>
      </c>
      <c r="H5" s="4">
        <v>1053482</v>
      </c>
      <c r="I5" s="3">
        <v>82.11</v>
      </c>
      <c r="J5" s="3">
        <v>0.34300000000000003</v>
      </c>
      <c r="K5" s="4">
        <v>5099960</v>
      </c>
    </row>
    <row r="6" spans="1:11" x14ac:dyDescent="0.3">
      <c r="A6" s="2">
        <v>3173</v>
      </c>
      <c r="B6" s="2" t="s">
        <v>6</v>
      </c>
      <c r="C6" s="2" t="s">
        <v>15</v>
      </c>
      <c r="D6" s="2">
        <v>2023</v>
      </c>
      <c r="E6" s="3">
        <v>4.68</v>
      </c>
      <c r="F6" s="2">
        <v>9.7100000000000009</v>
      </c>
      <c r="G6" s="4">
        <v>819423</v>
      </c>
      <c r="H6" s="4">
        <v>1049314</v>
      </c>
      <c r="I6" s="3">
        <v>83.75</v>
      </c>
      <c r="J6" s="2">
        <f>AVERAGE(J2:J5)</f>
        <v>0.372</v>
      </c>
      <c r="K6" s="10">
        <f>AVERAGE(K2:K5)</f>
        <v>4624007.34</v>
      </c>
    </row>
    <row r="7" spans="1:11" x14ac:dyDescent="0.3">
      <c r="A7" s="2">
        <v>3175</v>
      </c>
      <c r="B7" s="2" t="s">
        <v>7</v>
      </c>
      <c r="C7" s="2" t="s">
        <v>15</v>
      </c>
      <c r="D7" s="2">
        <v>2019</v>
      </c>
      <c r="E7" s="3">
        <v>5.04</v>
      </c>
      <c r="F7" s="3">
        <v>6.32</v>
      </c>
      <c r="G7" s="4">
        <v>288449</v>
      </c>
      <c r="H7" s="4">
        <v>1812915</v>
      </c>
      <c r="I7" s="3">
        <v>80.17</v>
      </c>
      <c r="J7" s="3">
        <v>0.35499999999999998</v>
      </c>
      <c r="K7" s="9">
        <v>3941623.82</v>
      </c>
    </row>
    <row r="8" spans="1:11" x14ac:dyDescent="0.3">
      <c r="A8" s="2">
        <v>3175</v>
      </c>
      <c r="B8" s="2" t="s">
        <v>7</v>
      </c>
      <c r="C8" s="2" t="s">
        <v>15</v>
      </c>
      <c r="D8" s="2">
        <v>2020</v>
      </c>
      <c r="E8" s="3">
        <v>6.78</v>
      </c>
      <c r="F8" s="3">
        <v>11.79</v>
      </c>
      <c r="G8" s="4">
        <v>279723</v>
      </c>
      <c r="H8" s="4">
        <v>1778981</v>
      </c>
      <c r="I8" s="3">
        <v>80.290000000000006</v>
      </c>
      <c r="J8" s="3">
        <v>0.41299999999999998</v>
      </c>
      <c r="K8" s="4">
        <v>4086253</v>
      </c>
    </row>
    <row r="9" spans="1:11" x14ac:dyDescent="0.3">
      <c r="A9" s="2">
        <v>3175</v>
      </c>
      <c r="B9" s="2" t="s">
        <v>7</v>
      </c>
      <c r="C9" s="2" t="s">
        <v>15</v>
      </c>
      <c r="D9" s="2">
        <v>2021</v>
      </c>
      <c r="E9" s="3">
        <v>7.24</v>
      </c>
      <c r="F9" s="3">
        <v>9.84</v>
      </c>
      <c r="G9" s="4">
        <v>299603</v>
      </c>
      <c r="H9" s="4">
        <v>1788981</v>
      </c>
      <c r="I9" s="3">
        <v>80.510000000000005</v>
      </c>
      <c r="J9" s="3">
        <v>0.51500000000000001</v>
      </c>
      <c r="K9" s="9">
        <v>4293686.6100000003</v>
      </c>
    </row>
    <row r="10" spans="1:11" x14ac:dyDescent="0.3">
      <c r="A10" s="2">
        <v>3175</v>
      </c>
      <c r="B10" s="2" t="s">
        <v>7</v>
      </c>
      <c r="C10" s="2" t="s">
        <v>15</v>
      </c>
      <c r="D10" s="2">
        <v>2022</v>
      </c>
      <c r="E10" s="3">
        <v>7.24</v>
      </c>
      <c r="F10" s="2">
        <v>8.0399999999999991</v>
      </c>
      <c r="G10" s="4">
        <v>326693</v>
      </c>
      <c r="H10" s="4">
        <v>1799220</v>
      </c>
      <c r="I10" s="3">
        <v>80.81</v>
      </c>
      <c r="J10" s="3">
        <v>0.54300000000000004</v>
      </c>
      <c r="K10" s="4">
        <v>6989775</v>
      </c>
    </row>
    <row r="11" spans="1:11" x14ac:dyDescent="0.3">
      <c r="A11" s="2">
        <v>3175</v>
      </c>
      <c r="B11" s="2" t="s">
        <v>7</v>
      </c>
      <c r="C11" s="2" t="s">
        <v>15</v>
      </c>
      <c r="D11" s="2">
        <v>2023</v>
      </c>
      <c r="E11" s="3">
        <v>6.78</v>
      </c>
      <c r="F11" s="2">
        <v>18.12</v>
      </c>
      <c r="G11" s="4">
        <v>348893</v>
      </c>
      <c r="H11" s="5">
        <v>1808985</v>
      </c>
      <c r="I11" s="3">
        <v>82.13</v>
      </c>
      <c r="J11" s="6">
        <f>AVERAGE(J7:J10)</f>
        <v>0.45650000000000002</v>
      </c>
      <c r="K11" s="10">
        <f>AVERAGE(K7:K10)</f>
        <v>4827834.6074999999</v>
      </c>
    </row>
    <row r="12" spans="1:11" x14ac:dyDescent="0.3">
      <c r="A12" s="2">
        <v>3174</v>
      </c>
      <c r="B12" s="2" t="s">
        <v>8</v>
      </c>
      <c r="C12" s="2" t="s">
        <v>15</v>
      </c>
      <c r="D12" s="2">
        <v>2019</v>
      </c>
      <c r="E12" s="3">
        <v>3.25</v>
      </c>
      <c r="F12" s="3">
        <v>5.21</v>
      </c>
      <c r="G12" s="4">
        <v>181610</v>
      </c>
      <c r="H12" s="4">
        <v>2589933</v>
      </c>
      <c r="I12" s="3">
        <v>81.209999999999994</v>
      </c>
      <c r="J12" s="3">
        <v>0.38700000000000001</v>
      </c>
      <c r="K12" s="9">
        <v>3602649.61</v>
      </c>
    </row>
    <row r="13" spans="1:11" x14ac:dyDescent="0.3">
      <c r="A13" s="2">
        <v>3174</v>
      </c>
      <c r="B13" s="2" t="s">
        <v>8</v>
      </c>
      <c r="C13" s="2" t="s">
        <v>15</v>
      </c>
      <c r="D13" s="2">
        <v>2020</v>
      </c>
      <c r="E13" s="3">
        <v>4.25</v>
      </c>
      <c r="F13" s="3">
        <v>12.27</v>
      </c>
      <c r="G13" s="4">
        <v>192975</v>
      </c>
      <c r="H13" s="4">
        <v>2434511</v>
      </c>
      <c r="I13" s="3">
        <v>81.38</v>
      </c>
      <c r="J13" s="3">
        <v>0.38</v>
      </c>
      <c r="K13" s="4">
        <v>3875286</v>
      </c>
    </row>
    <row r="14" spans="1:11" x14ac:dyDescent="0.3">
      <c r="A14" s="2">
        <v>3174</v>
      </c>
      <c r="B14" s="2" t="s">
        <v>8</v>
      </c>
      <c r="C14" s="2" t="s">
        <v>15</v>
      </c>
      <c r="D14" s="2">
        <v>2021</v>
      </c>
      <c r="E14" s="3">
        <v>4.3099999999999996</v>
      </c>
      <c r="F14" s="2">
        <v>9.06</v>
      </c>
      <c r="G14" s="4">
        <v>201829</v>
      </c>
      <c r="H14" s="4">
        <v>2446687</v>
      </c>
      <c r="I14" s="3">
        <v>81.760000000000005</v>
      </c>
      <c r="J14" s="3">
        <v>0.36599999999999999</v>
      </c>
      <c r="K14" s="9">
        <v>4175639.1</v>
      </c>
    </row>
    <row r="15" spans="1:11" x14ac:dyDescent="0.3">
      <c r="A15" s="2">
        <v>3174</v>
      </c>
      <c r="B15" s="2" t="s">
        <v>8</v>
      </c>
      <c r="C15" s="2" t="s">
        <v>15</v>
      </c>
      <c r="D15" s="2">
        <v>2022</v>
      </c>
      <c r="E15" s="3">
        <v>4.22</v>
      </c>
      <c r="F15" s="3">
        <v>7.1</v>
      </c>
      <c r="G15" s="4">
        <v>219934</v>
      </c>
      <c r="H15" s="4">
        <v>2458707</v>
      </c>
      <c r="I15" s="3">
        <v>82.51</v>
      </c>
      <c r="J15" s="3">
        <v>0.42199999999999999</v>
      </c>
      <c r="K15" s="4">
        <v>5687307</v>
      </c>
    </row>
    <row r="16" spans="1:11" x14ac:dyDescent="0.3">
      <c r="A16" s="2">
        <v>3174</v>
      </c>
      <c r="B16" s="2" t="s">
        <v>8</v>
      </c>
      <c r="C16" s="2" t="s">
        <v>15</v>
      </c>
      <c r="D16" s="2">
        <v>2023</v>
      </c>
      <c r="E16" s="3">
        <v>4.09</v>
      </c>
      <c r="F16" s="2">
        <v>22.43</v>
      </c>
      <c r="G16" s="4">
        <v>237025</v>
      </c>
      <c r="H16" s="4">
        <v>2470054</v>
      </c>
      <c r="I16" s="3">
        <v>84.4</v>
      </c>
      <c r="J16" s="6">
        <f>AVERAGE(J12:J15)</f>
        <v>0.38874999999999998</v>
      </c>
      <c r="K16" s="9">
        <f>AVERAGE(K12:K15)</f>
        <v>4335220.4275000002</v>
      </c>
    </row>
    <row r="17" spans="1:11" x14ac:dyDescent="0.3">
      <c r="A17" s="2">
        <v>3171</v>
      </c>
      <c r="B17" s="2" t="s">
        <v>9</v>
      </c>
      <c r="C17" s="2" t="s">
        <v>15</v>
      </c>
      <c r="D17" s="2">
        <v>2019</v>
      </c>
      <c r="E17" s="3">
        <v>2.73</v>
      </c>
      <c r="F17" s="3">
        <v>6.84</v>
      </c>
      <c r="G17" s="4">
        <v>283970</v>
      </c>
      <c r="H17" s="4">
        <v>2264699</v>
      </c>
      <c r="I17" s="3">
        <v>84.75</v>
      </c>
      <c r="J17" s="3">
        <v>0.443</v>
      </c>
      <c r="K17" s="9">
        <v>4454674.9000000004</v>
      </c>
    </row>
    <row r="18" spans="1:11" x14ac:dyDescent="0.3">
      <c r="A18" s="2">
        <v>3171</v>
      </c>
      <c r="B18" s="2" t="s">
        <v>9</v>
      </c>
      <c r="C18" s="2" t="s">
        <v>15</v>
      </c>
      <c r="D18" s="2">
        <v>2020</v>
      </c>
      <c r="E18" s="3">
        <v>3.43</v>
      </c>
      <c r="F18" s="3">
        <v>10.79</v>
      </c>
      <c r="G18" s="4">
        <v>289552</v>
      </c>
      <c r="H18" s="4">
        <v>2226812</v>
      </c>
      <c r="I18" s="3">
        <v>84.72</v>
      </c>
      <c r="J18" s="3">
        <v>0.42699999999999999</v>
      </c>
      <c r="K18" s="4">
        <v>4186906</v>
      </c>
    </row>
    <row r="19" spans="1:11" x14ac:dyDescent="0.3">
      <c r="A19" s="2">
        <v>3171</v>
      </c>
      <c r="B19" s="2" t="s">
        <v>9</v>
      </c>
      <c r="C19" s="2" t="s">
        <v>15</v>
      </c>
      <c r="D19" s="2">
        <v>2021</v>
      </c>
      <c r="E19" s="3">
        <v>3.56</v>
      </c>
      <c r="F19" s="2">
        <v>7.33</v>
      </c>
      <c r="G19" s="4">
        <v>201829</v>
      </c>
      <c r="H19" s="4">
        <v>2232442</v>
      </c>
      <c r="I19" s="3">
        <v>84.9</v>
      </c>
      <c r="J19" s="3">
        <v>0.38300000000000001</v>
      </c>
      <c r="K19" s="9">
        <v>3763408.3</v>
      </c>
    </row>
    <row r="20" spans="1:11" x14ac:dyDescent="0.3">
      <c r="A20" s="2">
        <v>3171</v>
      </c>
      <c r="B20" s="2" t="s">
        <v>9</v>
      </c>
      <c r="C20" s="2" t="s">
        <v>15</v>
      </c>
      <c r="D20" s="2">
        <v>2022</v>
      </c>
      <c r="E20" s="3">
        <v>3.52</v>
      </c>
      <c r="F20" s="2">
        <v>5.63</v>
      </c>
      <c r="G20" s="4">
        <v>327041</v>
      </c>
      <c r="H20" s="4">
        <v>2234262</v>
      </c>
      <c r="I20" s="3">
        <v>85.21</v>
      </c>
      <c r="J20" s="3">
        <v>0.377</v>
      </c>
      <c r="K20" s="4">
        <v>6185279</v>
      </c>
    </row>
    <row r="21" spans="1:11" x14ac:dyDescent="0.3">
      <c r="A21" s="2">
        <v>3171</v>
      </c>
      <c r="B21" s="2" t="s">
        <v>9</v>
      </c>
      <c r="C21" s="2" t="s">
        <v>15</v>
      </c>
      <c r="D21" s="2">
        <v>2023</v>
      </c>
      <c r="E21" s="3">
        <v>3.1</v>
      </c>
      <c r="F21" s="2">
        <v>17.649999999999999</v>
      </c>
      <c r="G21" s="4">
        <v>354415</v>
      </c>
      <c r="H21" s="4">
        <v>2235606</v>
      </c>
      <c r="I21" s="3">
        <v>87.57</v>
      </c>
      <c r="J21" s="6">
        <f>AVERAGE(J17:J20)</f>
        <v>0.40750000000000003</v>
      </c>
      <c r="K21" s="10">
        <f>AVERAGE(K17:K20)</f>
        <v>4647567.05</v>
      </c>
    </row>
    <row r="22" spans="1:11" x14ac:dyDescent="0.3">
      <c r="A22" s="2">
        <v>3172</v>
      </c>
      <c r="B22" s="2" t="s">
        <v>10</v>
      </c>
      <c r="C22" s="2" t="s">
        <v>15</v>
      </c>
      <c r="D22" s="2">
        <v>2019</v>
      </c>
      <c r="E22" s="3">
        <v>3.12</v>
      </c>
      <c r="F22" s="3">
        <v>6.15</v>
      </c>
      <c r="G22" s="4">
        <v>168094</v>
      </c>
      <c r="H22" s="4">
        <v>2937859</v>
      </c>
      <c r="I22" s="3">
        <v>82.69</v>
      </c>
      <c r="J22" s="3">
        <v>0.376</v>
      </c>
      <c r="K22" s="9">
        <v>4689273.5199999996</v>
      </c>
    </row>
    <row r="23" spans="1:11" x14ac:dyDescent="0.3">
      <c r="A23" s="2">
        <v>3172</v>
      </c>
      <c r="B23" s="2" t="s">
        <v>10</v>
      </c>
      <c r="C23" s="2" t="s">
        <v>15</v>
      </c>
      <c r="D23" s="2">
        <v>2020</v>
      </c>
      <c r="E23" s="3">
        <v>4.16</v>
      </c>
      <c r="F23" s="3">
        <v>9.2899999999999991</v>
      </c>
      <c r="G23" s="4">
        <v>155207</v>
      </c>
      <c r="H23" s="5">
        <v>3037139</v>
      </c>
      <c r="I23" s="3">
        <v>82.66</v>
      </c>
      <c r="J23" s="3">
        <v>0.36299999999999999</v>
      </c>
      <c r="K23" s="4">
        <v>4448619</v>
      </c>
    </row>
    <row r="24" spans="1:11" x14ac:dyDescent="0.3">
      <c r="A24" s="2">
        <v>3172</v>
      </c>
      <c r="B24" s="2" t="s">
        <v>10</v>
      </c>
      <c r="C24" s="2" t="s">
        <v>15</v>
      </c>
      <c r="D24" s="2">
        <v>2021</v>
      </c>
      <c r="E24" s="3">
        <v>4.28</v>
      </c>
      <c r="F24" s="3">
        <v>8.23</v>
      </c>
      <c r="G24" s="4">
        <v>163971</v>
      </c>
      <c r="H24" s="4">
        <v>3051866</v>
      </c>
      <c r="I24" s="3">
        <v>82.97</v>
      </c>
      <c r="J24" s="3">
        <v>0.374</v>
      </c>
      <c r="K24" s="9">
        <v>4830073.28</v>
      </c>
    </row>
    <row r="25" spans="1:11" x14ac:dyDescent="0.3">
      <c r="A25" s="2">
        <v>3172</v>
      </c>
      <c r="B25" s="2" t="s">
        <v>10</v>
      </c>
      <c r="C25" s="2" t="s">
        <v>15</v>
      </c>
      <c r="D25" s="2">
        <v>2022</v>
      </c>
      <c r="E25" s="3">
        <v>4.3</v>
      </c>
      <c r="F25" s="2">
        <v>8.39</v>
      </c>
      <c r="G25" s="4">
        <v>178421</v>
      </c>
      <c r="H25" s="4">
        <v>3066074</v>
      </c>
      <c r="I25" s="3">
        <v>83.45</v>
      </c>
      <c r="J25" s="3">
        <v>0.374</v>
      </c>
      <c r="K25" s="4">
        <v>5442060</v>
      </c>
    </row>
    <row r="26" spans="1:11" x14ac:dyDescent="0.3">
      <c r="A26" s="2">
        <v>3172</v>
      </c>
      <c r="B26" s="2" t="s">
        <v>10</v>
      </c>
      <c r="C26" s="2" t="s">
        <v>15</v>
      </c>
      <c r="D26" s="2">
        <v>2023</v>
      </c>
      <c r="E26" s="3">
        <v>4.2</v>
      </c>
      <c r="F26" s="2">
        <v>31.73</v>
      </c>
      <c r="G26" s="4">
        <v>192357</v>
      </c>
      <c r="H26" s="4">
        <v>3079618</v>
      </c>
      <c r="I26" s="3">
        <v>84.76</v>
      </c>
      <c r="J26" s="7">
        <f>AVERAGE(J22:J25)</f>
        <v>0.37175000000000002</v>
      </c>
      <c r="K26" s="10">
        <f>AVERAGE(K22:K25)</f>
        <v>4852506.45</v>
      </c>
    </row>
    <row r="27" spans="1:11" x14ac:dyDescent="0.3">
      <c r="A27" s="2">
        <v>3101</v>
      </c>
      <c r="B27" s="2" t="s">
        <v>11</v>
      </c>
      <c r="C27" s="2" t="s">
        <v>15</v>
      </c>
      <c r="D27" s="2">
        <v>2019</v>
      </c>
      <c r="E27" s="3">
        <v>12.09</v>
      </c>
      <c r="F27" s="3">
        <v>5.44</v>
      </c>
      <c r="G27" s="4">
        <v>317724</v>
      </c>
      <c r="H27" s="4">
        <v>24295</v>
      </c>
      <c r="I27" s="3">
        <v>71.400000000000006</v>
      </c>
      <c r="J27" s="3">
        <v>0.28000000000000003</v>
      </c>
      <c r="K27" s="9">
        <v>3981638.41</v>
      </c>
    </row>
    <row r="28" spans="1:11" x14ac:dyDescent="0.3">
      <c r="A28" s="2">
        <v>3101</v>
      </c>
      <c r="B28" s="2" t="s">
        <v>11</v>
      </c>
      <c r="C28" s="2" t="s">
        <v>15</v>
      </c>
      <c r="D28" s="2">
        <v>2020</v>
      </c>
      <c r="E28" s="3">
        <v>14.87</v>
      </c>
      <c r="F28" s="3">
        <v>7.37</v>
      </c>
      <c r="G28" s="4">
        <v>232819</v>
      </c>
      <c r="H28" s="4">
        <v>27749</v>
      </c>
      <c r="I28" s="3">
        <v>71.63</v>
      </c>
      <c r="J28" s="3">
        <v>0.30599999999999999</v>
      </c>
      <c r="K28" s="4">
        <v>3801512</v>
      </c>
    </row>
    <row r="29" spans="1:11" x14ac:dyDescent="0.3">
      <c r="A29" s="2">
        <v>3101</v>
      </c>
      <c r="B29" s="2" t="s">
        <v>11</v>
      </c>
      <c r="C29" s="2" t="s">
        <v>15</v>
      </c>
      <c r="D29" s="2">
        <v>2021</v>
      </c>
      <c r="E29" s="3">
        <v>15.06</v>
      </c>
      <c r="F29" s="3">
        <v>8.58</v>
      </c>
      <c r="G29" s="4">
        <v>291267</v>
      </c>
      <c r="H29" s="4">
        <v>27996</v>
      </c>
      <c r="I29" s="3">
        <v>72.099999999999994</v>
      </c>
      <c r="J29" s="3">
        <v>0.245</v>
      </c>
      <c r="K29" s="9">
        <v>4178950.43</v>
      </c>
    </row>
    <row r="30" spans="1:11" x14ac:dyDescent="0.3">
      <c r="A30" s="2">
        <v>3101</v>
      </c>
      <c r="B30" s="2" t="s">
        <v>11</v>
      </c>
      <c r="C30" s="2" t="s">
        <v>15</v>
      </c>
      <c r="D30" s="2">
        <v>2022</v>
      </c>
      <c r="E30" s="3">
        <v>14.11</v>
      </c>
      <c r="F30" s="2">
        <v>8.4700000000000006</v>
      </c>
      <c r="G30" s="4">
        <v>358302</v>
      </c>
      <c r="H30" s="4">
        <v>28262</v>
      </c>
      <c r="I30" s="3">
        <v>72.790000000000006</v>
      </c>
      <c r="J30" s="3">
        <v>0.21099999999999999</v>
      </c>
      <c r="K30" s="4">
        <v>4394816</v>
      </c>
    </row>
    <row r="31" spans="1:11" x14ac:dyDescent="0.3">
      <c r="A31" s="2">
        <v>3101</v>
      </c>
      <c r="B31" s="2" t="s">
        <v>11</v>
      </c>
      <c r="C31" s="2" t="s">
        <v>15</v>
      </c>
      <c r="D31" s="2">
        <v>2023</v>
      </c>
      <c r="E31" s="3">
        <v>13.13</v>
      </c>
      <c r="F31" s="2">
        <v>0.35</v>
      </c>
      <c r="G31" s="4">
        <v>287922</v>
      </c>
      <c r="H31" s="4">
        <v>28523</v>
      </c>
      <c r="I31" s="3">
        <v>76.69</v>
      </c>
      <c r="J31" s="6">
        <f>AVERAGE(J27:J30)</f>
        <v>0.26050000000000001</v>
      </c>
      <c r="K31" s="10">
        <f>AVERAGE(K27:K30)</f>
        <v>4089229.21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nurul alam</cp:lastModifiedBy>
  <dcterms:created xsi:type="dcterms:W3CDTF">2025-06-01T05:58:11Z</dcterms:created>
  <dcterms:modified xsi:type="dcterms:W3CDTF">2025-06-06T15:43:16Z</dcterms:modified>
</cp:coreProperties>
</file>